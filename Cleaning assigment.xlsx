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<sst xmlns="http://schemas.openxmlformats.org/spreadsheetml/2006/main" count="213" uniqueCount="183">
  <si>
    <t>CLEANING ASSIGNMENT</t>
  </si>
  <si>
    <t>Q 1.What is data cleaning,and why is it important in data analysis.</t>
  </si>
  <si>
    <t>1)What are the potential consequence of analyzing unclean or messy data.</t>
  </si>
  <si>
    <t>2)Explain the common tps involved in cleaning and organizing data.</t>
  </si>
  <si>
    <t>Ans:</t>
  </si>
  <si>
    <t>Data cleaning is the process of identifying and correcting errors,removing duplicate records,</t>
  </si>
  <si>
    <t>and organizing data to improve its quality.</t>
  </si>
  <si>
    <t>Importance of data cleaning:</t>
  </si>
  <si>
    <r>
      <rPr>
        <b/>
        <color rgb="FF000000"/>
        <sz val="11.0"/>
        <u/>
      </rPr>
      <t>1.It</t>
    </r>
    <r>
      <rPr>
        <b/>
        <sz val="11.0"/>
      </rPr>
      <t xml:space="preserve"> improves data accuracy.</t>
    </r>
  </si>
  <si>
    <r>
      <rPr>
        <b/>
        <color rgb="FF000000"/>
        <sz val="11.0"/>
        <u/>
      </rPr>
      <t>2.It</t>
    </r>
    <r>
      <rPr>
        <b/>
        <sz val="11.0"/>
      </rPr>
      <t xml:space="preserve"> helps in making correct business decision.</t>
    </r>
  </si>
  <si>
    <r>
      <rPr>
        <b/>
        <color rgb="FF000000"/>
        <sz val="11.0"/>
        <u/>
      </rPr>
      <t>3.It</t>
    </r>
    <r>
      <rPr>
        <b/>
        <sz val="11.0"/>
      </rPr>
      <t xml:space="preserve"> removes duplicate and incorrect values.</t>
    </r>
  </si>
  <si>
    <r>
      <rPr>
        <b/>
        <color rgb="FF000000"/>
        <sz val="11.0"/>
        <u/>
      </rPr>
      <t>4.It</t>
    </r>
    <r>
      <rPr>
        <b/>
        <sz val="11.0"/>
      </rPr>
      <t xml:space="preserve"> makes data easy to analyze and understand.</t>
    </r>
  </si>
  <si>
    <t>Consequence of analyzing unclean data:</t>
  </si>
  <si>
    <t>1)Wrong results and conclusion</t>
  </si>
  <si>
    <t>2)Poor decision making</t>
  </si>
  <si>
    <t>3) Wastage of time and resources</t>
  </si>
  <si>
    <t>4)Misleading reports and analysis</t>
  </si>
  <si>
    <t>Common steps involved in data cleaning:</t>
  </si>
  <si>
    <t>1)Removing duplicate data</t>
  </si>
  <si>
    <t>2)Correcting spelling errors</t>
  </si>
  <si>
    <t>3)Handling missing values</t>
  </si>
  <si>
    <t>4)Formatting data properly</t>
  </si>
  <si>
    <t>5)Removing unwanted spaces</t>
  </si>
  <si>
    <t>6)Standardizing data format</t>
  </si>
  <si>
    <t>Q 2.How would you sort the following dataset first by "department"(A-Z)and then by "salary"(largest to smallest)</t>
  </si>
  <si>
    <t>Write a step-by-step approach.</t>
  </si>
  <si>
    <t>Employee</t>
  </si>
  <si>
    <t>Department</t>
  </si>
  <si>
    <t>Salary</t>
  </si>
  <si>
    <t>sonu</t>
  </si>
  <si>
    <t>IT</t>
  </si>
  <si>
    <t>pranav</t>
  </si>
  <si>
    <t>HR</t>
  </si>
  <si>
    <t>rahul</t>
  </si>
  <si>
    <t>Q 3.Explain the us of the text functions such as TRIM,LEFT,MID,CONCAT in data cleaning.</t>
  </si>
  <si>
    <t>TRIM</t>
  </si>
  <si>
    <t>Remove extra space from text.</t>
  </si>
  <si>
    <t>Example:=TRIM(A1)</t>
  </si>
  <si>
    <t>LEFT</t>
  </si>
  <si>
    <t>Extract characters from the left side of text.</t>
  </si>
  <si>
    <t>Example:=LEFT(A1,3)</t>
  </si>
  <si>
    <t>RIGHT</t>
  </si>
  <si>
    <t>Eetracts characters from the right side of text.</t>
  </si>
  <si>
    <t>Example:=RIGHT(A1,2)</t>
  </si>
  <si>
    <t>MID</t>
  </si>
  <si>
    <t>Extracts characters from middle of text.</t>
  </si>
  <si>
    <t>Example:=CONCAT(A1,B1)</t>
  </si>
  <si>
    <t>CONCAT</t>
  </si>
  <si>
    <t>Combine text from multiple cells.</t>
  </si>
  <si>
    <t>Q 4.What is the role of date function like TODAY in managing datseta.</t>
  </si>
  <si>
    <t>Role in dataset management:</t>
  </si>
  <si>
    <t>1) Helps trak daily records.</t>
  </si>
  <si>
    <t>2)Used for calculating deadlines.</t>
  </si>
  <si>
    <t>3)Helps calculate age or duration.</t>
  </si>
  <si>
    <t>4)Updates date automatically.</t>
  </si>
  <si>
    <t>Example:=TODAY()</t>
  </si>
  <si>
    <t>Q 5.Apply data validation to restrict quantity values to only whole numbers between 1 and 10.</t>
  </si>
  <si>
    <t>a.Configure an input message that appears when a user selects a cell in the "Quantity"column explaning:</t>
  </si>
  <si>
    <t>"Please enter a whole number 1and 10 ".</t>
  </si>
  <si>
    <t>b.Set up an erroe alert message that triggers if the user enters a number less than 1 or greater than 10.</t>
  </si>
  <si>
    <t>"Invalid input the quantity must be a whole number between 1 and 10".</t>
  </si>
  <si>
    <t>customer name</t>
  </si>
  <si>
    <t>product name</t>
  </si>
  <si>
    <t>category</t>
  </si>
  <si>
    <t>quantity</t>
  </si>
  <si>
    <t>unit price($)</t>
  </si>
  <si>
    <t>jane smith</t>
  </si>
  <si>
    <t>shoes</t>
  </si>
  <si>
    <t>electronics</t>
  </si>
  <si>
    <t>isabella moore</t>
  </si>
  <si>
    <t>laptop</t>
  </si>
  <si>
    <t>daniel davis</t>
  </si>
  <si>
    <t>sofa</t>
  </si>
  <si>
    <t>clothing</t>
  </si>
  <si>
    <t>alex moore</t>
  </si>
  <si>
    <t>michel  johnson</t>
  </si>
  <si>
    <t>table lamp</t>
  </si>
  <si>
    <t>home decore</t>
  </si>
  <si>
    <t>daniel  johnson</t>
  </si>
  <si>
    <t>backpack</t>
  </si>
  <si>
    <t>isabella davis</t>
  </si>
  <si>
    <t>headphones</t>
  </si>
  <si>
    <t>jane davis</t>
  </si>
  <si>
    <t>alex wilson</t>
  </si>
  <si>
    <t>t-shirt</t>
  </si>
  <si>
    <t>Objective:</t>
  </si>
  <si>
    <t>To restrict the quantity column so that users can enter only numbers between 1 and 10</t>
  </si>
  <si>
    <t>and to display instruction and error messages.</t>
  </si>
  <si>
    <t>steps to apply data validation</t>
  </si>
  <si>
    <t>1.Select the quantity column.</t>
  </si>
  <si>
    <t>2.Go to the data menu.</t>
  </si>
  <si>
    <t>3.Click on data validation.</t>
  </si>
  <si>
    <r>
      <rPr>
        <b/>
        <color rgb="FF000000"/>
        <u/>
      </rPr>
      <t>4.In</t>
    </r>
    <r>
      <rPr>
        <b/>
      </rPr>
      <t xml:space="preserve"> criteria,select number-between.</t>
    </r>
  </si>
  <si>
    <t>5.Enter minimum=1 and maximum=10.</t>
  </si>
  <si>
    <t>Input message setup</t>
  </si>
  <si>
    <t>Title:</t>
  </si>
  <si>
    <t>Quantity instruction</t>
  </si>
  <si>
    <t>Message:</t>
  </si>
  <si>
    <t>Please enter quantity between 1 and 10</t>
  </si>
  <si>
    <t>This message appears when the user selected the cell and guides them about valid input.</t>
  </si>
  <si>
    <t>Error alert setup</t>
  </si>
  <si>
    <t>On invalid data:</t>
  </si>
  <si>
    <t>Reject the input</t>
  </si>
  <si>
    <t>Help text:</t>
  </si>
  <si>
    <t>Quantity must be between 1 and 10</t>
  </si>
  <si>
    <t>This message appears when the usr enters an invalid value and prevents incorrect data entry.</t>
  </si>
  <si>
    <t>Q 6.Understand and apply fundamental text function like LEFT,RIGHT,MID,and LEN.</t>
  </si>
  <si>
    <t>TASK</t>
  </si>
  <si>
    <t>FORMULA</t>
  </si>
  <si>
    <t>RESULT</t>
  </si>
  <si>
    <t>First 5 characters</t>
  </si>
  <si>
    <t>=LEFT("Exceltipsaregreat",5)</t>
  </si>
  <si>
    <t>Last 4 characters</t>
  </si>
  <si>
    <t>=RIGHT("Dataanalysis.xlsx",4)</t>
  </si>
  <si>
    <t>Substring "Tips"</t>
  </si>
  <si>
    <t>=MID("Exceltipsaregreat",6,4)</t>
  </si>
  <si>
    <t>Total characters</t>
  </si>
  <si>
    <t>=LEN("Hello World!")</t>
  </si>
  <si>
    <t>Middle 6 characters</t>
  </si>
  <si>
    <t>=MID("12345-67890-abcde",6,6)</t>
  </si>
  <si>
    <t>Q 7.Understand how to combine text usingCONCAT,TEXTJOIN,and the&amp; operator.</t>
  </si>
  <si>
    <t>a) use CONCAT to combine "Hello" and "World" with a space in between.</t>
  </si>
  <si>
    <t>b) combine"Apple","Banana",and"Cherry"into a single string separated by commas using TEXTJOIN.</t>
  </si>
  <si>
    <t>c) use the&amp;operator to create the string"2025:Excel function"by combing"2025",":",and"Excel" functions".</t>
  </si>
  <si>
    <t>d) create a comma-separated list from the range A1:A5 using TEXTJOIN</t>
  </si>
  <si>
    <t>e) combine first names in column A with last names in column B to create full name in column C.</t>
  </si>
  <si>
    <t>a)</t>
  </si>
  <si>
    <t>=CONCAT("hello ","world")</t>
  </si>
  <si>
    <t>b)</t>
  </si>
  <si>
    <t>A(Fruits)</t>
  </si>
  <si>
    <t>Apple</t>
  </si>
  <si>
    <t>Banana</t>
  </si>
  <si>
    <t>Cherry</t>
  </si>
  <si>
    <t>c)</t>
  </si>
  <si>
    <t>="2025"&amp;":"&amp;"Excel function"</t>
  </si>
  <si>
    <t>d)</t>
  </si>
  <si>
    <t>A(name)</t>
  </si>
  <si>
    <t>RAHUL</t>
  </si>
  <si>
    <t>AMAN</t>
  </si>
  <si>
    <t>=TEXTJOIN(",",TRUE,A73:A76)</t>
  </si>
  <si>
    <t>NEHA</t>
  </si>
  <si>
    <t>PRIYA</t>
  </si>
  <si>
    <t>e)</t>
  </si>
  <si>
    <t>first name</t>
  </si>
  <si>
    <t>last name</t>
  </si>
  <si>
    <t>full name</t>
  </si>
  <si>
    <t>Rahul</t>
  </si>
  <si>
    <t>Sharma</t>
  </si>
  <si>
    <t>Rahul Sharma</t>
  </si>
  <si>
    <t>=A80&amp;" "&amp;B80</t>
  </si>
  <si>
    <t>Preet</t>
  </si>
  <si>
    <t>Soni</t>
  </si>
  <si>
    <t>Preet Soni</t>
  </si>
  <si>
    <t>=A81&amp;" "&amp;B81</t>
  </si>
  <si>
    <t>Muskan</t>
  </si>
  <si>
    <t>Yadav</t>
  </si>
  <si>
    <t>Muskan Yadav</t>
  </si>
  <si>
    <t>=A82&amp;" "&amp;B82</t>
  </si>
  <si>
    <t>Q 8.Understanding TODAY() and NOW()</t>
  </si>
  <si>
    <t>a. what is the difference between TODAY() and NOW() in excel?provide an example of when you would use each function.</t>
  </si>
  <si>
    <t>b. if cell A1 contains the dte 2025-06-10,write a formula using TODAY() to determine how many days are left until that dates.</t>
  </si>
  <si>
    <t>c.write an excel formula using NOW() to display the current date and time in the format MM/DD/YYYY HH:MM AM/PM".</t>
  </si>
  <si>
    <t>d. if a cell contains =TODAY(),what will happen the worksheet is reopened the next day?explain</t>
  </si>
  <si>
    <t>e. you want to store a static date(today's date)in a cell without it changing every day.what keyboard shortcut should you use?</t>
  </si>
  <si>
    <t>Difference between TODAY()and NOW():</t>
  </si>
  <si>
    <t>TODAY()-Returns current date only</t>
  </si>
  <si>
    <t>NOW()-Returns current date and time.</t>
  </si>
  <si>
    <t>Example use:</t>
  </si>
  <si>
    <t>TODAY()-Track deadlines,birthdays</t>
  </si>
  <si>
    <t>NOW()-Track exact time of an event,timestamp</t>
  </si>
  <si>
    <t>EVENT</t>
  </si>
  <si>
    <t>DATE</t>
  </si>
  <si>
    <t>DAYS LEFT FORMULA</t>
  </si>
  <si>
    <t>DAY LEFT RESULT</t>
  </si>
  <si>
    <t>TARGET DATE</t>
  </si>
  <si>
    <t>=B101-TODAY()</t>
  </si>
  <si>
    <t>02/13/2026 03:44 pm</t>
  </si>
  <si>
    <t>=TEXT(NOW(),"MM/DD/YYYY hh:mm AM/PM")</t>
  </si>
  <si>
    <t xml:space="preserve"> 1) The value updates automatically to the new current date.</t>
  </si>
  <si>
    <t>2)TODAY()is dynamic-it always shows today's date.</t>
  </si>
  <si>
    <t>Use keyboard shortcut:</t>
  </si>
  <si>
    <t>Ctrl+;-insert current date(static)</t>
  </si>
  <si>
    <t>Ctrl+Shift+;- insert current time (static)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</si>
</sst>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3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11.0"/>
      <color rgb="FFFFFFFF"/>
      <name val="Arial"/>
      <scheme val="minor"/>
    </font>
    <font>
      <u/>
      <color rgb="FF0000FF"/>
    </font>
    <font>
      <color theme="1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u/>
      <color rgb="FF0000FF"/>
    </font>
    <font>
      <b/>
      <sz val="11.0"/>
      <color rgb="FF000000"/>
      <name val="Arial"/>
      <scheme val="minor"/>
    </font>
    <font/>
  </fonts>
  <fills count="1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274E13"/>
        <bgColor rgb="FF274E13"/>
      </patternFill>
    </fill>
    <fill>
      <patternFill patternType="solid">
        <fgColor rgb="FFF1C232"/>
        <bgColor rgb="FFF1C232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borderId="0" fillId="4" fontId="6" numFmtId="0" xfId="0" applyAlignment="1" applyFont="1">
      <alignment readingOrder="0"/>
    </xf>
    <xf borderId="0" fillId="3" fontId="4" numFmtId="0" xfId="0" applyAlignment="1" applyFont="1">
      <alignment readingOrder="0"/>
    </xf>
    <xf borderId="1" fillId="6" fontId="4" numFmtId="0" xfId="0" applyAlignment="1" applyBorder="1" applyFill="1" applyFont="1">
      <alignment horizontal="center" readingOrder="0"/>
    </xf>
    <xf borderId="1" fillId="6" fontId="7" numFmtId="0" xfId="0" applyAlignment="1" applyBorder="1" applyFont="1">
      <alignment horizontal="center" readingOrder="0"/>
    </xf>
    <xf borderId="1" fillId="7" fontId="4" numFmtId="0" xfId="0" applyAlignment="1" applyBorder="1" applyFill="1" applyFont="1">
      <alignment horizontal="center" readingOrder="0"/>
    </xf>
    <xf borderId="1" fillId="7" fontId="7" numFmtId="0" xfId="0" applyAlignment="1" applyBorder="1" applyFont="1">
      <alignment horizontal="center" readingOrder="0"/>
    </xf>
    <xf borderId="0" fillId="5" fontId="8" numFmtId="0" xfId="0" applyAlignment="1" applyFont="1">
      <alignment readingOrder="0"/>
    </xf>
    <xf borderId="0" fillId="4" fontId="4" numFmtId="0" xfId="0" applyAlignment="1" applyFont="1">
      <alignment readingOrder="0"/>
    </xf>
    <xf borderId="0" fillId="5" fontId="9" numFmtId="0" xfId="0" applyAlignment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  <xf borderId="0" fillId="0" fontId="4" numFmtId="0" xfId="0" applyFont="1"/>
    <xf borderId="0" fillId="8" fontId="3" numFmtId="0" xfId="0" applyAlignment="1" applyFill="1" applyFont="1">
      <alignment readingOrder="0"/>
    </xf>
    <xf borderId="0" fillId="8" fontId="4" numFmtId="0" xfId="0" applyAlignment="1" applyFont="1">
      <alignment readingOrder="0"/>
    </xf>
    <xf borderId="0" fillId="8" fontId="10" numFmtId="0" xfId="0" applyAlignment="1" applyFont="1">
      <alignment readingOrder="0"/>
    </xf>
    <xf borderId="0" fillId="8" fontId="11" numFmtId="0" xfId="0" applyAlignment="1" applyFont="1">
      <alignment readingOrder="0"/>
    </xf>
    <xf borderId="0" fillId="0" fontId="7" numFmtId="0" xfId="0" applyFont="1"/>
    <xf borderId="0" fillId="8" fontId="2" numFmtId="0" xfId="0" applyAlignment="1" applyFont="1">
      <alignment readingOrder="0"/>
    </xf>
    <xf borderId="2" fillId="9" fontId="4" numFmtId="0" xfId="0" applyAlignment="1" applyBorder="1" applyFill="1" applyFont="1">
      <alignment horizontal="center" readingOrder="0"/>
    </xf>
    <xf borderId="3" fillId="0" fontId="12" numFmtId="0" xfId="0" applyBorder="1" applyFont="1"/>
    <xf borderId="1" fillId="9" fontId="4" numFmtId="0" xfId="0" applyAlignment="1" applyBorder="1" applyFont="1">
      <alignment horizontal="center" readingOrder="0"/>
    </xf>
    <xf borderId="2" fillId="9" fontId="7" numFmtId="0" xfId="0" applyAlignment="1" applyBorder="1" applyFont="1">
      <alignment horizontal="center" readingOrder="0"/>
    </xf>
    <xf borderId="1" fillId="9" fontId="7" numFmtId="0" xfId="0" applyAlignment="1" applyBorder="1" applyFont="1">
      <alignment horizontal="center"/>
    </xf>
    <xf borderId="0" fillId="4" fontId="7" numFmtId="0" xfId="0" applyFont="1"/>
    <xf borderId="0" fillId="10" fontId="7" numFmtId="0" xfId="0" applyFill="1" applyFont="1"/>
    <xf borderId="0" fillId="0" fontId="7" numFmtId="0" xfId="0" applyAlignment="1" applyFont="1">
      <alignment readingOrder="0"/>
    </xf>
    <xf borderId="0" fillId="4" fontId="7" numFmtId="0" xfId="0" applyFont="1"/>
    <xf borderId="1" fillId="11" fontId="4" numFmtId="0" xfId="0" applyAlignment="1" applyBorder="1" applyFill="1" applyFont="1">
      <alignment horizontal="center" readingOrder="0"/>
    </xf>
    <xf borderId="1" fillId="11" fontId="4" numFmtId="0" xfId="0" applyAlignment="1" applyBorder="1" applyFont="1">
      <alignment horizontal="center"/>
    </xf>
    <xf borderId="1" fillId="11" fontId="7" numFmtId="0" xfId="0" applyAlignment="1" applyBorder="1" applyFont="1">
      <alignment horizontal="center" readingOrder="0"/>
    </xf>
    <xf borderId="1" fillId="11" fontId="7" numFmtId="0" xfId="0" applyAlignment="1" applyBorder="1" applyFont="1">
      <alignment horizontal="center"/>
    </xf>
    <xf borderId="0" fillId="4" fontId="2" numFmtId="0" xfId="0" applyAlignment="1" applyFont="1">
      <alignment readingOrder="0"/>
    </xf>
    <xf borderId="1" fillId="12" fontId="4" numFmtId="0" xfId="0" applyAlignment="1" applyBorder="1" applyFill="1" applyFont="1">
      <alignment horizontal="center" readingOrder="0"/>
    </xf>
    <xf borderId="1" fillId="12" fontId="7" numFmtId="0" xfId="0" applyAlignment="1" applyBorder="1" applyFont="1">
      <alignment horizontal="center" readingOrder="0"/>
    </xf>
    <xf borderId="1" fillId="12" fontId="7" numFmtId="164" xfId="0" applyAlignment="1" applyBorder="1" applyFont="1" applyNumberFormat="1">
      <alignment horizontal="center" readingOrder="0"/>
    </xf>
    <xf borderId="1" fillId="12" fontId="7" numFmtId="0" xfId="0" applyAlignment="1" applyBorder="1" applyFont="1">
      <alignment horizontal="center"/>
    </xf>
    <xf borderId="0" fillId="13" fontId="7" numFmtId="0" xfId="0" applyFill="1" applyFont="1"/>
    <xf borderId="0" fillId="9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.it/" TargetMode="External"/><Relationship Id="rId2" Type="http://schemas.openxmlformats.org/officeDocument/2006/relationships/hyperlink" Target="http://2.it/" TargetMode="External"/><Relationship Id="rId3" Type="http://schemas.openxmlformats.org/officeDocument/2006/relationships/hyperlink" Target="http://3.it/" TargetMode="External"/><Relationship Id="rId4" Type="http://schemas.openxmlformats.org/officeDocument/2006/relationships/hyperlink" Target="http://4.it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4.in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6" max="6" width="25.63"/>
  </cols>
  <sheetData>
    <row r="1">
      <c r="D1" s="1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7">
      <c r="A7" s="4" t="s">
        <v>4</v>
      </c>
    </row>
    <row r="9">
      <c r="A9" s="5" t="s">
        <v>5</v>
      </c>
    </row>
    <row r="10">
      <c r="A10" s="5" t="s">
        <v>6</v>
      </c>
    </row>
    <row r="12">
      <c r="A12" s="6" t="s">
        <v>7</v>
      </c>
    </row>
    <row r="13">
      <c r="A13" s="7" t="s">
        <v>8</v>
      </c>
    </row>
    <row r="14">
      <c r="A14" s="7" t="s">
        <v>9</v>
      </c>
    </row>
    <row r="15">
      <c r="A15" s="7" t="s">
        <v>10</v>
      </c>
    </row>
    <row r="16">
      <c r="A16" s="7" t="s">
        <v>11</v>
      </c>
    </row>
    <row r="18">
      <c r="A18" s="6" t="s">
        <v>12</v>
      </c>
    </row>
    <row r="19">
      <c r="A19" s="5" t="s">
        <v>13</v>
      </c>
    </row>
    <row r="20">
      <c r="A20" s="5" t="s">
        <v>14</v>
      </c>
    </row>
    <row r="21">
      <c r="A21" s="5" t="s">
        <v>15</v>
      </c>
    </row>
    <row r="22">
      <c r="A22" s="5" t="s">
        <v>16</v>
      </c>
    </row>
    <row r="24">
      <c r="A24" s="6" t="s">
        <v>17</v>
      </c>
    </row>
    <row r="25">
      <c r="A25" s="5" t="s">
        <v>18</v>
      </c>
    </row>
    <row r="26">
      <c r="A26" s="5" t="s">
        <v>19</v>
      </c>
    </row>
    <row r="27">
      <c r="A27" s="5" t="s">
        <v>20</v>
      </c>
    </row>
    <row r="28">
      <c r="A28" s="5" t="s">
        <v>21</v>
      </c>
    </row>
    <row r="29">
      <c r="A29" s="5" t="s">
        <v>22</v>
      </c>
    </row>
    <row r="30">
      <c r="A30" s="5" t="s">
        <v>23</v>
      </c>
    </row>
    <row r="32">
      <c r="A32" s="8" t="s">
        <v>24</v>
      </c>
    </row>
    <row r="33">
      <c r="A33" s="8" t="s">
        <v>25</v>
      </c>
    </row>
    <row r="34">
      <c r="A34" s="9" t="s">
        <v>26</v>
      </c>
      <c r="B34" s="9" t="s">
        <v>27</v>
      </c>
      <c r="C34" s="9" t="s">
        <v>28</v>
      </c>
    </row>
    <row r="35">
      <c r="A35" s="10" t="s">
        <v>29</v>
      </c>
      <c r="B35" s="10" t="s">
        <v>30</v>
      </c>
      <c r="C35" s="10">
        <v>4000.0</v>
      </c>
    </row>
    <row r="36">
      <c r="A36" s="10" t="s">
        <v>31</v>
      </c>
      <c r="B36" s="10" t="s">
        <v>32</v>
      </c>
      <c r="C36" s="10">
        <v>5000.0</v>
      </c>
    </row>
    <row r="37">
      <c r="A37" s="10" t="s">
        <v>33</v>
      </c>
      <c r="B37" s="10" t="s">
        <v>30</v>
      </c>
      <c r="C37" s="10">
        <v>2500.0</v>
      </c>
    </row>
    <row r="39">
      <c r="A39" s="4" t="s">
        <v>4</v>
      </c>
    </row>
    <row r="40">
      <c r="A40" s="11" t="s">
        <v>26</v>
      </c>
      <c r="B40" s="11" t="s">
        <v>27</v>
      </c>
      <c r="C40" s="11" t="s">
        <v>28</v>
      </c>
    </row>
    <row r="41">
      <c r="A41" s="12" t="s">
        <v>29</v>
      </c>
      <c r="B41" s="12" t="s">
        <v>32</v>
      </c>
      <c r="C41" s="12">
        <v>5000.0</v>
      </c>
    </row>
    <row r="42">
      <c r="A42" s="12" t="s">
        <v>31</v>
      </c>
      <c r="B42" s="12" t="s">
        <v>30</v>
      </c>
      <c r="C42" s="12">
        <v>4000.0</v>
      </c>
    </row>
    <row r="43">
      <c r="A43" s="12" t="s">
        <v>33</v>
      </c>
      <c r="B43" s="12" t="s">
        <v>30</v>
      </c>
      <c r="C43" s="12">
        <v>2500.0</v>
      </c>
    </row>
    <row r="45">
      <c r="A45" s="3" t="s">
        <v>34</v>
      </c>
    </row>
    <row r="47">
      <c r="A47" s="4" t="s">
        <v>4</v>
      </c>
    </row>
    <row r="48">
      <c r="A48" s="13" t="s">
        <v>35</v>
      </c>
    </row>
    <row r="49">
      <c r="A49" s="14" t="s">
        <v>36</v>
      </c>
    </row>
    <row r="50">
      <c r="A50" s="14" t="s">
        <v>37</v>
      </c>
    </row>
    <row r="52">
      <c r="A52" s="13" t="s">
        <v>38</v>
      </c>
    </row>
    <row r="53">
      <c r="A53" s="14" t="s">
        <v>39</v>
      </c>
    </row>
    <row r="54">
      <c r="A54" s="14" t="s">
        <v>40</v>
      </c>
    </row>
    <row r="56">
      <c r="A56" s="15" t="s">
        <v>41</v>
      </c>
    </row>
    <row r="57">
      <c r="A57" s="14" t="s">
        <v>42</v>
      </c>
    </row>
    <row r="58">
      <c r="A58" s="14" t="s">
        <v>43</v>
      </c>
    </row>
    <row r="60">
      <c r="A60" s="15" t="s">
        <v>44</v>
      </c>
    </row>
    <row r="61">
      <c r="A61" s="14" t="s">
        <v>45</v>
      </c>
    </row>
    <row r="62">
      <c r="A62" s="14" t="s">
        <v>46</v>
      </c>
    </row>
    <row r="64">
      <c r="A64" s="15" t="s">
        <v>47</v>
      </c>
    </row>
    <row r="65">
      <c r="A65" s="14" t="s">
        <v>48</v>
      </c>
    </row>
    <row r="66">
      <c r="A66" s="14" t="s">
        <v>46</v>
      </c>
    </row>
    <row r="68">
      <c r="A68" s="3" t="s">
        <v>49</v>
      </c>
    </row>
    <row r="70">
      <c r="A70" s="4" t="s">
        <v>4</v>
      </c>
    </row>
    <row r="71">
      <c r="A71" s="6" t="s">
        <v>50</v>
      </c>
    </row>
    <row r="72">
      <c r="A72" s="5" t="s">
        <v>51</v>
      </c>
    </row>
    <row r="73">
      <c r="A73" s="5" t="s">
        <v>52</v>
      </c>
    </row>
    <row r="74">
      <c r="A74" s="5" t="s">
        <v>53</v>
      </c>
    </row>
    <row r="75">
      <c r="A75" s="5" t="s">
        <v>54</v>
      </c>
    </row>
    <row r="76">
      <c r="A76" s="5" t="s">
        <v>55</v>
      </c>
    </row>
  </sheetData>
  <mergeCells count="43">
    <mergeCell ref="D1:I1"/>
    <mergeCell ref="A3:F3"/>
    <mergeCell ref="A4:F4"/>
    <mergeCell ref="A5:F5"/>
    <mergeCell ref="A9:F9"/>
    <mergeCell ref="A10:D10"/>
    <mergeCell ref="A12:C12"/>
    <mergeCell ref="A13:D13"/>
    <mergeCell ref="A14:D14"/>
    <mergeCell ref="A15:D15"/>
    <mergeCell ref="A16:D16"/>
    <mergeCell ref="A18:D18"/>
    <mergeCell ref="A19:C19"/>
    <mergeCell ref="A20:C20"/>
    <mergeCell ref="A21:C21"/>
    <mergeCell ref="A22:C22"/>
    <mergeCell ref="A24:D24"/>
    <mergeCell ref="A25:B25"/>
    <mergeCell ref="A26:B26"/>
    <mergeCell ref="A27:B27"/>
    <mergeCell ref="A28:B28"/>
    <mergeCell ref="A29:B29"/>
    <mergeCell ref="A30:B30"/>
    <mergeCell ref="A32:F32"/>
    <mergeCell ref="A33:C33"/>
    <mergeCell ref="A45:F45"/>
    <mergeCell ref="A49:B49"/>
    <mergeCell ref="A50:B50"/>
    <mergeCell ref="A66:B66"/>
    <mergeCell ref="A68:E68"/>
    <mergeCell ref="A71:C71"/>
    <mergeCell ref="A72:C72"/>
    <mergeCell ref="A73:C73"/>
    <mergeCell ref="A74:C74"/>
    <mergeCell ref="A75:C75"/>
    <mergeCell ref="A76:C76"/>
    <mergeCell ref="A53:C53"/>
    <mergeCell ref="A54:B54"/>
    <mergeCell ref="A57:C57"/>
    <mergeCell ref="A58:B58"/>
    <mergeCell ref="A61:C61"/>
    <mergeCell ref="A62:B62"/>
    <mergeCell ref="A65:C65"/>
  </mergeCells>
  <hyperlinks>
    <hyperlink r:id="rId1" ref="A13"/>
    <hyperlink r:id="rId2" ref="A14"/>
    <hyperlink r:id="rId3" ref="A15"/>
    <hyperlink r:id="rId4" ref="A16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36.0"/>
    <col customWidth="1" min="4" max="4" width="47.25"/>
    <col customWidth="1" min="5" max="5" width="18.75"/>
  </cols>
  <sheetData>
    <row r="1">
      <c r="A1" s="3" t="s">
        <v>56</v>
      </c>
    </row>
    <row r="2">
      <c r="A2" s="8" t="s">
        <v>57</v>
      </c>
    </row>
    <row r="3">
      <c r="A3" s="8" t="s">
        <v>58</v>
      </c>
    </row>
    <row r="4">
      <c r="A4" s="8" t="s">
        <v>59</v>
      </c>
    </row>
    <row r="5">
      <c r="A5" s="8" t="s">
        <v>60</v>
      </c>
    </row>
    <row r="7">
      <c r="A7" s="16" t="s">
        <v>61</v>
      </c>
      <c r="B7" s="16" t="s">
        <v>62</v>
      </c>
      <c r="C7" s="16" t="s">
        <v>63</v>
      </c>
      <c r="D7" s="16" t="s">
        <v>64</v>
      </c>
      <c r="E7" s="16" t="s">
        <v>65</v>
      </c>
    </row>
    <row r="8">
      <c r="A8" s="17" t="s">
        <v>66</v>
      </c>
      <c r="B8" s="17" t="s">
        <v>67</v>
      </c>
      <c r="C8" s="17" t="s">
        <v>68</v>
      </c>
      <c r="D8" s="17">
        <v>10.0</v>
      </c>
      <c r="E8" s="17">
        <v>81.0</v>
      </c>
    </row>
    <row r="9">
      <c r="A9" s="17" t="s">
        <v>69</v>
      </c>
      <c r="B9" s="17" t="s">
        <v>70</v>
      </c>
      <c r="C9" s="17" t="s">
        <v>68</v>
      </c>
      <c r="D9" s="18"/>
      <c r="E9" s="17">
        <v>121.0</v>
      </c>
    </row>
    <row r="10">
      <c r="A10" s="17" t="s">
        <v>71</v>
      </c>
      <c r="B10" s="17" t="s">
        <v>72</v>
      </c>
      <c r="C10" s="17" t="s">
        <v>73</v>
      </c>
      <c r="D10" s="18"/>
      <c r="E10" s="17">
        <v>239.0</v>
      </c>
    </row>
    <row r="11">
      <c r="A11" s="17" t="s">
        <v>74</v>
      </c>
      <c r="B11" s="17" t="s">
        <v>67</v>
      </c>
      <c r="C11" s="17" t="s">
        <v>68</v>
      </c>
      <c r="D11" s="18"/>
      <c r="E11" s="17">
        <v>500.0</v>
      </c>
    </row>
    <row r="12">
      <c r="A12" s="17" t="s">
        <v>75</v>
      </c>
      <c r="B12" s="17" t="s">
        <v>76</v>
      </c>
      <c r="C12" s="17" t="s">
        <v>77</v>
      </c>
      <c r="D12" s="18"/>
      <c r="E12" s="17">
        <v>423.0</v>
      </c>
    </row>
    <row r="13">
      <c r="A13" s="17" t="s">
        <v>78</v>
      </c>
      <c r="B13" s="17" t="s">
        <v>79</v>
      </c>
      <c r="C13" s="17" t="s">
        <v>68</v>
      </c>
      <c r="D13" s="18"/>
      <c r="E13" s="17">
        <v>260.0</v>
      </c>
    </row>
    <row r="14">
      <c r="A14" s="17" t="s">
        <v>80</v>
      </c>
      <c r="B14" s="17" t="s">
        <v>81</v>
      </c>
      <c r="C14" s="17" t="s">
        <v>68</v>
      </c>
      <c r="D14" s="18"/>
      <c r="E14" s="17">
        <v>348.0</v>
      </c>
    </row>
    <row r="15">
      <c r="A15" s="17" t="s">
        <v>82</v>
      </c>
      <c r="B15" s="17" t="s">
        <v>81</v>
      </c>
      <c r="C15" s="17" t="s">
        <v>68</v>
      </c>
      <c r="D15" s="18"/>
      <c r="E15" s="17">
        <v>152.0</v>
      </c>
    </row>
    <row r="16">
      <c r="A16" s="17" t="s">
        <v>83</v>
      </c>
      <c r="B16" s="17" t="s">
        <v>84</v>
      </c>
      <c r="C16" s="17" t="s">
        <v>77</v>
      </c>
      <c r="D16" s="18"/>
      <c r="E16" s="17">
        <v>369.0</v>
      </c>
    </row>
    <row r="18">
      <c r="A18" s="4" t="s">
        <v>4</v>
      </c>
    </row>
    <row r="20">
      <c r="A20" s="15" t="s">
        <v>85</v>
      </c>
      <c r="G20" s="19"/>
    </row>
    <row r="21">
      <c r="A21" s="20" t="s">
        <v>86</v>
      </c>
    </row>
    <row r="22">
      <c r="A22" s="20" t="s">
        <v>87</v>
      </c>
    </row>
    <row r="24">
      <c r="A24" s="6" t="s">
        <v>88</v>
      </c>
    </row>
    <row r="25">
      <c r="A25" s="21" t="s">
        <v>89</v>
      </c>
    </row>
    <row r="26">
      <c r="A26" s="21" t="s">
        <v>90</v>
      </c>
    </row>
    <row r="27">
      <c r="A27" s="21" t="s">
        <v>91</v>
      </c>
    </row>
    <row r="28">
      <c r="A28" s="22" t="s">
        <v>92</v>
      </c>
    </row>
    <row r="29">
      <c r="A29" s="21" t="s">
        <v>93</v>
      </c>
    </row>
    <row r="31">
      <c r="A31" s="6" t="s">
        <v>94</v>
      </c>
    </row>
    <row r="32">
      <c r="A32" s="6" t="s">
        <v>95</v>
      </c>
      <c r="B32" s="20" t="s">
        <v>96</v>
      </c>
    </row>
    <row r="33">
      <c r="A33" s="6" t="s">
        <v>97</v>
      </c>
      <c r="B33" s="23" t="s">
        <v>98</v>
      </c>
    </row>
    <row r="34">
      <c r="A34" s="21" t="s">
        <v>99</v>
      </c>
    </row>
    <row r="36">
      <c r="A36" s="6" t="s">
        <v>100</v>
      </c>
      <c r="C36" s="24"/>
      <c r="D36" s="24"/>
    </row>
    <row r="37">
      <c r="A37" s="6" t="s">
        <v>101</v>
      </c>
      <c r="C37" s="25" t="s">
        <v>102</v>
      </c>
    </row>
    <row r="38">
      <c r="A38" s="6" t="s">
        <v>103</v>
      </c>
      <c r="C38" s="25" t="s">
        <v>104</v>
      </c>
    </row>
    <row r="39">
      <c r="A39" s="21" t="s">
        <v>105</v>
      </c>
    </row>
    <row r="41">
      <c r="A41" s="2" t="s">
        <v>106</v>
      </c>
    </row>
    <row r="42">
      <c r="A42" s="4" t="s">
        <v>4</v>
      </c>
    </row>
    <row r="43">
      <c r="B43" s="26" t="s">
        <v>107</v>
      </c>
      <c r="C43" s="27"/>
      <c r="D43" s="28" t="s">
        <v>108</v>
      </c>
      <c r="E43" s="28" t="s">
        <v>109</v>
      </c>
    </row>
    <row r="44">
      <c r="B44" s="29" t="s">
        <v>110</v>
      </c>
      <c r="C44" s="27"/>
      <c r="D44" s="30" t="s">
        <v>111</v>
      </c>
      <c r="E44" s="30" t="str">
        <f>LEFT("Exceltipsaregreat",5)</f>
        <v>Excel</v>
      </c>
    </row>
    <row r="45">
      <c r="B45" s="29" t="s">
        <v>112</v>
      </c>
      <c r="C45" s="27"/>
      <c r="D45" s="30" t="s">
        <v>113</v>
      </c>
      <c r="E45" s="30" t="str">
        <f>RIGHT("Dataanalysis.xlsx",4)</f>
        <v>xlsx</v>
      </c>
    </row>
    <row r="46">
      <c r="B46" s="29" t="s">
        <v>114</v>
      </c>
      <c r="C46" s="27"/>
      <c r="D46" s="30" t="s">
        <v>115</v>
      </c>
      <c r="E46" s="30" t="str">
        <f>MID("Exceltipsaregreat",6,4)</f>
        <v>tips</v>
      </c>
    </row>
    <row r="47">
      <c r="B47" s="29" t="s">
        <v>116</v>
      </c>
      <c r="C47" s="27"/>
      <c r="D47" s="30" t="s">
        <v>117</v>
      </c>
      <c r="E47" s="30">
        <f>LEN("Hello World!")</f>
        <v>12</v>
      </c>
    </row>
    <row r="48">
      <c r="B48" s="29" t="s">
        <v>118</v>
      </c>
      <c r="C48" s="27"/>
      <c r="D48" s="30" t="s">
        <v>119</v>
      </c>
      <c r="E48" s="30" t="str">
        <f>MID("12345-67890-abcde",6,6)</f>
        <v>-67890</v>
      </c>
    </row>
    <row r="50">
      <c r="A50" s="3" t="s">
        <v>120</v>
      </c>
    </row>
    <row r="51">
      <c r="A51" s="3" t="s">
        <v>121</v>
      </c>
    </row>
    <row r="52">
      <c r="A52" s="3" t="s">
        <v>122</v>
      </c>
    </row>
    <row r="53">
      <c r="A53" s="3" t="s">
        <v>123</v>
      </c>
    </row>
    <row r="54">
      <c r="A54" s="3" t="s">
        <v>124</v>
      </c>
    </row>
    <row r="55">
      <c r="A55" s="3" t="s">
        <v>125</v>
      </c>
    </row>
    <row r="57">
      <c r="A57" s="4" t="s">
        <v>4</v>
      </c>
    </row>
    <row r="58">
      <c r="A58" s="4" t="s">
        <v>126</v>
      </c>
    </row>
    <row r="59">
      <c r="B59" s="31" t="s">
        <v>127</v>
      </c>
      <c r="C59" s="32" t="str">
        <f>CONCAT("hello ","world")</f>
        <v>hello world</v>
      </c>
    </row>
    <row r="61">
      <c r="A61" s="4" t="s">
        <v>128</v>
      </c>
    </row>
    <row r="62">
      <c r="A62" s="4" t="s">
        <v>129</v>
      </c>
    </row>
    <row r="63">
      <c r="A63" s="33" t="s">
        <v>130</v>
      </c>
      <c r="C63" s="34" t="str">
        <f>FORMULATEXT(D63)</f>
        <v>=TEXTJOIN(",",TRUE,A63:A65)</v>
      </c>
      <c r="D63" s="32" t="str">
        <f>TEXTJOIN(",",TRUE,A63:A65)</f>
        <v>Apple,Banana,Cherry</v>
      </c>
    </row>
    <row r="64">
      <c r="A64" s="33" t="s">
        <v>131</v>
      </c>
    </row>
    <row r="65">
      <c r="A65" s="33" t="s">
        <v>132</v>
      </c>
    </row>
    <row r="67">
      <c r="A67" s="4" t="s">
        <v>133</v>
      </c>
    </row>
    <row r="69">
      <c r="B69" s="34" t="s">
        <v>134</v>
      </c>
      <c r="C69" s="32" t="str">
        <f>"2025"&amp;":"&amp;"Excel function"</f>
        <v>2025:Excel function</v>
      </c>
    </row>
    <row r="71">
      <c r="A71" s="4" t="s">
        <v>135</v>
      </c>
    </row>
    <row r="72">
      <c r="A72" s="4" t="s">
        <v>136</v>
      </c>
    </row>
    <row r="73">
      <c r="A73" s="33" t="s">
        <v>137</v>
      </c>
    </row>
    <row r="74">
      <c r="A74" s="33" t="s">
        <v>138</v>
      </c>
      <c r="B74" s="34" t="s">
        <v>139</v>
      </c>
      <c r="C74" s="32" t="str">
        <f>TEXTJOIN(",",TRUE,A73:A76)</f>
        <v>RAHUL,AMAN,NEHA,PRIYA</v>
      </c>
    </row>
    <row r="75">
      <c r="A75" s="33" t="s">
        <v>140</v>
      </c>
    </row>
    <row r="76">
      <c r="A76" s="33" t="s">
        <v>141</v>
      </c>
    </row>
    <row r="78">
      <c r="A78" s="4" t="s">
        <v>142</v>
      </c>
    </row>
    <row r="79">
      <c r="A79" s="35" t="s">
        <v>143</v>
      </c>
      <c r="B79" s="35" t="s">
        <v>144</v>
      </c>
      <c r="C79" s="36" t="s">
        <v>145</v>
      </c>
    </row>
    <row r="80">
      <c r="A80" s="37" t="s">
        <v>146</v>
      </c>
      <c r="B80" s="37" t="s">
        <v>147</v>
      </c>
      <c r="C80" s="38" t="s">
        <v>148</v>
      </c>
      <c r="D80" s="32" t="s">
        <v>149</v>
      </c>
    </row>
    <row r="81">
      <c r="A81" s="37" t="s">
        <v>150</v>
      </c>
      <c r="B81" s="37" t="s">
        <v>151</v>
      </c>
      <c r="C81" s="38" t="s">
        <v>152</v>
      </c>
      <c r="D81" s="32" t="s">
        <v>153</v>
      </c>
    </row>
    <row r="82">
      <c r="A82" s="37" t="s">
        <v>154</v>
      </c>
      <c r="B82" s="37" t="s">
        <v>155</v>
      </c>
      <c r="C82" s="38" t="s">
        <v>156</v>
      </c>
      <c r="D82" s="32" t="s">
        <v>157</v>
      </c>
    </row>
    <row r="84">
      <c r="A84" s="2" t="s">
        <v>158</v>
      </c>
    </row>
    <row r="85">
      <c r="A85" s="8" t="s">
        <v>159</v>
      </c>
    </row>
    <row r="86">
      <c r="A86" s="8" t="s">
        <v>160</v>
      </c>
    </row>
    <row r="87">
      <c r="A87" s="8" t="s">
        <v>161</v>
      </c>
    </row>
    <row r="88">
      <c r="A88" s="8" t="s">
        <v>162</v>
      </c>
    </row>
    <row r="89">
      <c r="A89" s="8" t="s">
        <v>163</v>
      </c>
    </row>
    <row r="91">
      <c r="A91" s="4" t="s">
        <v>4</v>
      </c>
    </row>
    <row r="92">
      <c r="A92" s="15" t="s">
        <v>164</v>
      </c>
    </row>
    <row r="93">
      <c r="A93" s="39" t="s">
        <v>165</v>
      </c>
    </row>
    <row r="94">
      <c r="A94" s="5" t="s">
        <v>166</v>
      </c>
    </row>
    <row r="95">
      <c r="A95" s="15" t="s">
        <v>167</v>
      </c>
    </row>
    <row r="96">
      <c r="A96" s="14" t="s">
        <v>168</v>
      </c>
    </row>
    <row r="97">
      <c r="A97" s="14" t="s">
        <v>169</v>
      </c>
    </row>
    <row r="99">
      <c r="A99" s="4" t="s">
        <v>128</v>
      </c>
    </row>
    <row r="100">
      <c r="A100" s="40" t="s">
        <v>170</v>
      </c>
      <c r="B100" s="40" t="s">
        <v>171</v>
      </c>
      <c r="C100" s="40" t="s">
        <v>172</v>
      </c>
      <c r="D100" s="40" t="s">
        <v>173</v>
      </c>
    </row>
    <row r="101">
      <c r="A101" s="41" t="s">
        <v>174</v>
      </c>
      <c r="B101" s="42">
        <v>45818.0</v>
      </c>
      <c r="C101" s="43" t="s">
        <v>175</v>
      </c>
      <c r="D101" s="41">
        <v>248.0</v>
      </c>
    </row>
    <row r="103">
      <c r="A103" s="4" t="s">
        <v>133</v>
      </c>
    </row>
    <row r="104">
      <c r="B104" s="44" t="s">
        <v>176</v>
      </c>
      <c r="C104" s="45" t="s">
        <v>177</v>
      </c>
    </row>
    <row r="106">
      <c r="A106" s="4" t="s">
        <v>135</v>
      </c>
    </row>
    <row r="107">
      <c r="A107" s="20" t="s">
        <v>178</v>
      </c>
    </row>
    <row r="108">
      <c r="A108" s="20" t="s">
        <v>179</v>
      </c>
    </row>
    <row r="110">
      <c r="A110" s="4" t="s">
        <v>142</v>
      </c>
    </row>
    <row r="111">
      <c r="A111" s="6" t="s">
        <v>180</v>
      </c>
    </row>
    <row r="112">
      <c r="A112" s="14" t="s">
        <v>181</v>
      </c>
    </row>
    <row r="113">
      <c r="A113" s="14" t="s">
        <v>182</v>
      </c>
    </row>
  </sheetData>
  <mergeCells count="52">
    <mergeCell ref="A1:G1"/>
    <mergeCell ref="A2:G2"/>
    <mergeCell ref="A3:C3"/>
    <mergeCell ref="A4:G4"/>
    <mergeCell ref="A5:D5"/>
    <mergeCell ref="A21:E21"/>
    <mergeCell ref="A22:D22"/>
    <mergeCell ref="B32:C32"/>
    <mergeCell ref="B33:D33"/>
    <mergeCell ref="A34:D34"/>
    <mergeCell ref="A36:B36"/>
    <mergeCell ref="A37:B37"/>
    <mergeCell ref="A38:B38"/>
    <mergeCell ref="C37:D37"/>
    <mergeCell ref="B47:C47"/>
    <mergeCell ref="B48:C48"/>
    <mergeCell ref="A50:D50"/>
    <mergeCell ref="A51:D51"/>
    <mergeCell ref="A52:E52"/>
    <mergeCell ref="A53:F53"/>
    <mergeCell ref="A54:D54"/>
    <mergeCell ref="A55:D55"/>
    <mergeCell ref="C38:D38"/>
    <mergeCell ref="A39:D39"/>
    <mergeCell ref="A41:E41"/>
    <mergeCell ref="B43:C43"/>
    <mergeCell ref="B44:C44"/>
    <mergeCell ref="B45:C45"/>
    <mergeCell ref="B46:C46"/>
    <mergeCell ref="A24:C24"/>
    <mergeCell ref="A25:C25"/>
    <mergeCell ref="A26:C26"/>
    <mergeCell ref="A27:C27"/>
    <mergeCell ref="A28:C28"/>
    <mergeCell ref="A29:C29"/>
    <mergeCell ref="A31:B31"/>
    <mergeCell ref="A84:C84"/>
    <mergeCell ref="A85:D85"/>
    <mergeCell ref="A86:D86"/>
    <mergeCell ref="A87:D87"/>
    <mergeCell ref="A88:D88"/>
    <mergeCell ref="A89:D89"/>
    <mergeCell ref="A92:B92"/>
    <mergeCell ref="A112:B112"/>
    <mergeCell ref="A113:B113"/>
    <mergeCell ref="A93:C93"/>
    <mergeCell ref="A94:C94"/>
    <mergeCell ref="A96:B96"/>
    <mergeCell ref="A97:B97"/>
    <mergeCell ref="A107:C107"/>
    <mergeCell ref="A108:C108"/>
    <mergeCell ref="A111:B111"/>
  </mergeCells>
  <dataValidations>
    <dataValidation type="list" allowBlank="1" showDropDown="1" showErrorMessage="1" sqref="D7:D16">
      <formula1>"10,quantity"</formula1>
    </dataValidation>
  </dataValidations>
  <hyperlinks>
    <hyperlink r:id="rId1" ref="A28"/>
  </hyperlinks>
  <drawing r:id="rId2"/>
</worksheet>
</file>